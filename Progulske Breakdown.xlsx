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akdown" sheetId="1" r:id="rId5"/>
    <sheet state="visible" name="Raw" sheetId="2" r:id="rId6"/>
  </sheets>
  <definedNames/>
  <calcPr/>
</workbook>
</file>

<file path=xl/sharedStrings.xml><?xml version="1.0" encoding="utf-8"?>
<sst xmlns="http://schemas.openxmlformats.org/spreadsheetml/2006/main" count="61" uniqueCount="35">
  <si>
    <t>Stat</t>
  </si>
  <si>
    <t>1st</t>
  </si>
  <si>
    <t>2nd</t>
  </si>
  <si>
    <t>3rd</t>
  </si>
  <si>
    <t>4th</t>
  </si>
  <si>
    <t>5th</t>
  </si>
  <si>
    <t>6th</t>
  </si>
  <si>
    <t>BF</t>
  </si>
  <si>
    <t>R</t>
  </si>
  <si>
    <t>K</t>
  </si>
  <si>
    <t>BB</t>
  </si>
  <si>
    <t>LOB</t>
  </si>
  <si>
    <t>Rates</t>
  </si>
  <si>
    <t>K%</t>
  </si>
  <si>
    <t>BB%</t>
  </si>
  <si>
    <t>ERA</t>
  </si>
  <si>
    <t>BF/Inning</t>
  </si>
  <si>
    <t>Game</t>
  </si>
  <si>
    <t>1st Inning</t>
  </si>
  <si>
    <t>2nd Inning</t>
  </si>
  <si>
    <t>3rd Inning</t>
  </si>
  <si>
    <t>4th Inning</t>
  </si>
  <si>
    <t>5th Inning</t>
  </si>
  <si>
    <t>6th Inning</t>
  </si>
  <si>
    <t>7th Inning</t>
  </si>
  <si>
    <t>Mary Baldwin</t>
  </si>
  <si>
    <t>Batters Faced</t>
  </si>
  <si>
    <t>Runs</t>
  </si>
  <si>
    <t>Strikeouts</t>
  </si>
  <si>
    <t>Walks</t>
  </si>
  <si>
    <t>Lycoming</t>
  </si>
  <si>
    <t>Hampden-Sydney</t>
  </si>
  <si>
    <t>North Central</t>
  </si>
  <si>
    <t>Immaculata</t>
  </si>
  <si>
    <t>Marywood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</si>
</sst>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10" xfId="0" applyAlignment="1" applyFont="1" applyNumberFormat="1">
      <alignment readingOrder="0"/>
    </xf>
    <xf borderId="0" fillId="0" fontId="1" numFmtId="2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f>Raw!B3+Raw!B10+Raw!B17+Raw!B24+Raw!B31+Raw!B38</f>
        <v>30</v>
      </c>
      <c r="C2" s="2">
        <f>Raw!C3+Raw!C10+Raw!C17+Raw!C24+Raw!C31+Raw!C38</f>
        <v>22</v>
      </c>
      <c r="D2" s="2">
        <f>Raw!D3+Raw!D10+Raw!D17+Raw!D24+Raw!D31+Raw!D38</f>
        <v>30</v>
      </c>
      <c r="E2" s="2">
        <f>Raw!E3+Raw!E10+Raw!E17+Raw!E24+Raw!E31+Raw!E38</f>
        <v>32</v>
      </c>
      <c r="F2" s="2">
        <f>Raw!F10+Raw!F24+Raw!F31+Raw!F38</f>
        <v>19</v>
      </c>
      <c r="G2" s="2">
        <f>Raw!G24</f>
        <v>3</v>
      </c>
    </row>
    <row r="3">
      <c r="A3" s="1" t="s">
        <v>8</v>
      </c>
      <c r="B3" s="2">
        <f>Raw!B4+Raw!B11+Raw!B18+Raw!B25+Raw!B32+Raw!B39</f>
        <v>2</v>
      </c>
      <c r="C3" s="2">
        <f>Raw!C4+Raw!C11+Raw!C18+Raw!C25+Raw!C32+Raw!C39</f>
        <v>0</v>
      </c>
      <c r="D3" s="2">
        <f>Raw!D4+Raw!D11+Raw!D18+Raw!D25+Raw!D32+Raw!D39</f>
        <v>3</v>
      </c>
      <c r="E3" s="2">
        <f>Raw!E4+Raw!E11+Raw!E18+Raw!E25+Raw!E32+Raw!E39</f>
        <v>7</v>
      </c>
      <c r="F3" s="2">
        <f>Raw!F11+Raw!F25+Raw!F32+Raw!F39</f>
        <v>4</v>
      </c>
      <c r="G3" s="2">
        <f>Raw!G25</f>
        <v>0</v>
      </c>
    </row>
    <row r="4">
      <c r="A4" s="1" t="s">
        <v>9</v>
      </c>
      <c r="B4" s="2">
        <f>Raw!B5+Raw!B12+Raw!B19+Raw!B26+Raw!B33+Raw!B40</f>
        <v>11</v>
      </c>
      <c r="C4" s="2">
        <f>Raw!C5+Raw!C12+Raw!C19+Raw!C26+Raw!C33+Raw!C40</f>
        <v>5</v>
      </c>
      <c r="D4" s="2">
        <f>Raw!D5+Raw!D12+Raw!D19+Raw!D26+Raw!D33+Raw!D40</f>
        <v>8</v>
      </c>
      <c r="E4" s="2">
        <f>Raw!E5+Raw!E12+Raw!E19+Raw!E26+Raw!E33+Raw!E40</f>
        <v>7</v>
      </c>
      <c r="F4" s="2">
        <f>Raw!F12+Raw!F26+Raw!F33+Raw!F40</f>
        <v>0</v>
      </c>
      <c r="G4" s="2">
        <f>Raw!G26</f>
        <v>3</v>
      </c>
    </row>
    <row r="5">
      <c r="A5" s="1" t="s">
        <v>10</v>
      </c>
      <c r="B5" s="2">
        <f>Raw!B6+Raw!B13+Raw!B20+Raw!B27+Raw!B34+Raw!B41</f>
        <v>5</v>
      </c>
      <c r="C5" s="2">
        <f>Raw!C6+Raw!C13+Raw!C20+Raw!C27+Raw!C34+Raw!C41</f>
        <v>3</v>
      </c>
      <c r="D5" s="2">
        <f>Raw!D6+Raw!D13+Raw!D20+Raw!D27+Raw!D34+Raw!D41</f>
        <v>2</v>
      </c>
      <c r="E5" s="2">
        <f>Raw!E6+Raw!E13+Raw!E20+Raw!E27+Raw!E34+Raw!E41</f>
        <v>2</v>
      </c>
      <c r="F5" s="2">
        <f>Raw!F13+Raw!F27+Raw!F34+Raw!F41</f>
        <v>4</v>
      </c>
      <c r="G5" s="2">
        <f>Raw!G27</f>
        <v>0</v>
      </c>
    </row>
    <row r="6">
      <c r="A6" s="1" t="s">
        <v>11</v>
      </c>
      <c r="B6" s="2">
        <f>Raw!B7+Raw!B14+Raw!B21+Raw!B28+Raw!B35+Raw!B42</f>
        <v>7</v>
      </c>
      <c r="C6" s="2">
        <f>Raw!C7+Raw!C14+Raw!C21+Raw!C28+Raw!C35+Raw!C42</f>
        <v>3</v>
      </c>
      <c r="D6" s="2">
        <f>Raw!D7+Raw!D14+Raw!D21+Raw!D28+Raw!D35+Raw!D42</f>
        <v>6</v>
      </c>
      <c r="E6" s="2">
        <f>Raw!E7+Raw!E14+Raw!E21+Raw!E28+Raw!E35+Raw!E42</f>
        <v>6</v>
      </c>
      <c r="F6" s="2">
        <f>Raw!F14+Raw!F28+Raw!F35+Raw!F42</f>
        <v>6</v>
      </c>
      <c r="G6" s="2">
        <f>Raw!G28</f>
        <v>0</v>
      </c>
    </row>
    <row r="8">
      <c r="A8" s="1" t="s">
        <v>12</v>
      </c>
    </row>
    <row r="9">
      <c r="A9" s="1" t="s">
        <v>13</v>
      </c>
      <c r="B9" s="3">
        <f t="shared" ref="B9:G9" si="1">B4/B2</f>
        <v>0.3666666667</v>
      </c>
      <c r="C9" s="3">
        <f t="shared" si="1"/>
        <v>0.2272727273</v>
      </c>
      <c r="D9" s="3">
        <f t="shared" si="1"/>
        <v>0.2666666667</v>
      </c>
      <c r="E9" s="3">
        <f t="shared" si="1"/>
        <v>0.21875</v>
      </c>
      <c r="F9" s="3">
        <f t="shared" si="1"/>
        <v>0</v>
      </c>
      <c r="G9" s="3">
        <f t="shared" si="1"/>
        <v>1</v>
      </c>
    </row>
    <row r="10">
      <c r="A10" s="1" t="s">
        <v>14</v>
      </c>
      <c r="B10" s="3">
        <f t="shared" ref="B10:G10" si="2">B5/B2</f>
        <v>0.1666666667</v>
      </c>
      <c r="C10" s="3">
        <f t="shared" si="2"/>
        <v>0.1363636364</v>
      </c>
      <c r="D10" s="4">
        <f t="shared" si="2"/>
        <v>0.06666666667</v>
      </c>
      <c r="E10" s="3">
        <f t="shared" si="2"/>
        <v>0.0625</v>
      </c>
      <c r="F10" s="3">
        <f t="shared" si="2"/>
        <v>0.2105263158</v>
      </c>
      <c r="G10" s="3">
        <f t="shared" si="2"/>
        <v>0</v>
      </c>
    </row>
    <row r="11">
      <c r="A11" s="1" t="s">
        <v>15</v>
      </c>
      <c r="B11" s="5">
        <f t="shared" ref="B11:E11" si="3">(B3/6) *9</f>
        <v>3</v>
      </c>
      <c r="C11" s="5">
        <f t="shared" si="3"/>
        <v>0</v>
      </c>
      <c r="D11" s="5">
        <f t="shared" si="3"/>
        <v>4.5</v>
      </c>
      <c r="E11" s="5">
        <f t="shared" si="3"/>
        <v>10.5</v>
      </c>
      <c r="F11" s="5">
        <f>(F3/4)*9</f>
        <v>9</v>
      </c>
      <c r="G11" s="5">
        <f>(G3/1)*9</f>
        <v>0</v>
      </c>
    </row>
    <row r="12">
      <c r="A12" s="1" t="s">
        <v>16</v>
      </c>
      <c r="B12" s="6">
        <f t="shared" ref="B12:E12" si="4">B2/6</f>
        <v>5</v>
      </c>
      <c r="C12" s="6">
        <f t="shared" si="4"/>
        <v>3.666666667</v>
      </c>
      <c r="D12" s="6">
        <f t="shared" si="4"/>
        <v>5</v>
      </c>
      <c r="E12" s="6">
        <f t="shared" si="4"/>
        <v>5.333333333</v>
      </c>
      <c r="F12" s="6">
        <f>F2/4</f>
        <v>4.75</v>
      </c>
      <c r="G12" s="6">
        <f>3/1</f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>
      <c r="A2" s="1" t="s">
        <v>25</v>
      </c>
    </row>
    <row r="3">
      <c r="A3" s="1" t="s">
        <v>26</v>
      </c>
      <c r="B3" s="1">
        <v>6.0</v>
      </c>
      <c r="C3" s="1">
        <v>3.0</v>
      </c>
      <c r="D3" s="1">
        <v>7.0</v>
      </c>
      <c r="E3" s="1">
        <v>5.0</v>
      </c>
    </row>
    <row r="4">
      <c r="A4" s="1" t="s">
        <v>27</v>
      </c>
      <c r="B4" s="1">
        <v>1.0</v>
      </c>
      <c r="C4" s="1">
        <v>0.0</v>
      </c>
      <c r="D4" s="1">
        <v>2.0</v>
      </c>
      <c r="E4" s="1">
        <v>1.0</v>
      </c>
    </row>
    <row r="5">
      <c r="A5" s="1" t="s">
        <v>28</v>
      </c>
      <c r="B5" s="1">
        <v>1.0</v>
      </c>
      <c r="C5" s="1">
        <v>1.0</v>
      </c>
      <c r="D5" s="1">
        <v>1.0</v>
      </c>
      <c r="E5" s="1">
        <v>1.0</v>
      </c>
    </row>
    <row r="6">
      <c r="A6" s="1" t="s">
        <v>29</v>
      </c>
      <c r="B6" s="1">
        <v>0.0</v>
      </c>
      <c r="C6" s="1">
        <v>0.0</v>
      </c>
      <c r="D6" s="1">
        <v>0.0</v>
      </c>
      <c r="E6" s="1">
        <v>0.0</v>
      </c>
    </row>
    <row r="7">
      <c r="A7" s="1" t="s">
        <v>11</v>
      </c>
      <c r="B7" s="1">
        <v>2.0</v>
      </c>
      <c r="C7" s="1">
        <v>0.0</v>
      </c>
      <c r="D7" s="1">
        <v>1.0</v>
      </c>
      <c r="E7" s="1">
        <v>1.0</v>
      </c>
    </row>
    <row r="8">
      <c r="A8" s="1"/>
    </row>
    <row r="9">
      <c r="A9" s="1" t="s">
        <v>30</v>
      </c>
    </row>
    <row r="10">
      <c r="A10" s="1" t="s">
        <v>26</v>
      </c>
      <c r="B10" s="1">
        <v>5.0</v>
      </c>
      <c r="C10" s="1">
        <v>5.0</v>
      </c>
      <c r="D10" s="1">
        <v>6.0</v>
      </c>
      <c r="E10" s="1">
        <v>4.0</v>
      </c>
      <c r="F10" s="1">
        <v>5.0</v>
      </c>
    </row>
    <row r="11">
      <c r="A11" s="1" t="s">
        <v>27</v>
      </c>
      <c r="B11" s="1">
        <v>0.0</v>
      </c>
      <c r="C11" s="1">
        <v>0.0</v>
      </c>
      <c r="D11" s="1">
        <v>0.0</v>
      </c>
      <c r="E11" s="1">
        <v>0.0</v>
      </c>
      <c r="F11" s="1">
        <v>2.0</v>
      </c>
    </row>
    <row r="12">
      <c r="A12" s="1" t="s">
        <v>28</v>
      </c>
      <c r="B12" s="1">
        <v>2.0</v>
      </c>
      <c r="C12" s="1">
        <v>1.0</v>
      </c>
      <c r="D12" s="1">
        <v>1.0</v>
      </c>
      <c r="E12" s="1">
        <v>1.0</v>
      </c>
      <c r="F12" s="1">
        <v>0.0</v>
      </c>
    </row>
    <row r="13">
      <c r="A13" s="1" t="s">
        <v>29</v>
      </c>
      <c r="B13" s="1">
        <v>1.0</v>
      </c>
      <c r="C13" s="1">
        <v>1.0</v>
      </c>
      <c r="D13" s="1">
        <v>1.0</v>
      </c>
      <c r="E13" s="1">
        <v>0.0</v>
      </c>
      <c r="F13" s="1">
        <v>1.0</v>
      </c>
    </row>
    <row r="14">
      <c r="A14" s="1" t="s">
        <v>11</v>
      </c>
      <c r="B14" s="1">
        <v>1.0</v>
      </c>
      <c r="C14" s="1">
        <v>2.0</v>
      </c>
      <c r="D14" s="1">
        <v>1.0</v>
      </c>
      <c r="E14" s="1">
        <v>1.0</v>
      </c>
      <c r="F14" s="1">
        <v>2.0</v>
      </c>
    </row>
    <row r="16">
      <c r="A16" s="1" t="s">
        <v>31</v>
      </c>
    </row>
    <row r="17">
      <c r="A17" s="1" t="s">
        <v>26</v>
      </c>
      <c r="B17" s="1">
        <v>5.0</v>
      </c>
      <c r="C17" s="1">
        <v>4.0</v>
      </c>
      <c r="D17" s="1">
        <v>4.0</v>
      </c>
      <c r="E17" s="1">
        <v>10.0</v>
      </c>
    </row>
    <row r="18">
      <c r="A18" s="1" t="s">
        <v>27</v>
      </c>
      <c r="B18" s="1">
        <v>0.0</v>
      </c>
      <c r="C18" s="1">
        <v>0.0</v>
      </c>
      <c r="D18" s="1">
        <v>0.0</v>
      </c>
      <c r="E18" s="1">
        <v>5.0</v>
      </c>
    </row>
    <row r="19">
      <c r="A19" s="1" t="s">
        <v>28</v>
      </c>
      <c r="B19" s="1">
        <v>3.0</v>
      </c>
      <c r="C19" s="1">
        <v>2.0</v>
      </c>
      <c r="D19" s="1">
        <v>1.0</v>
      </c>
      <c r="E19" s="1">
        <v>2.0</v>
      </c>
    </row>
    <row r="20">
      <c r="A20" s="1" t="s">
        <v>29</v>
      </c>
      <c r="B20" s="1">
        <v>1.0</v>
      </c>
      <c r="C20" s="1">
        <v>1.0</v>
      </c>
      <c r="D20" s="1">
        <v>1.0</v>
      </c>
      <c r="E20" s="1">
        <v>1.0</v>
      </c>
    </row>
    <row r="21">
      <c r="A21" s="1" t="s">
        <v>11</v>
      </c>
      <c r="B21" s="1">
        <v>1.0</v>
      </c>
      <c r="C21" s="1">
        <v>0.0</v>
      </c>
      <c r="D21" s="1">
        <v>1.0</v>
      </c>
      <c r="E21" s="1">
        <v>1.0</v>
      </c>
    </row>
    <row r="23">
      <c r="A23" s="1" t="s">
        <v>32</v>
      </c>
    </row>
    <row r="24">
      <c r="A24" s="1" t="s">
        <v>26</v>
      </c>
      <c r="B24" s="1">
        <v>3.0</v>
      </c>
      <c r="C24" s="1">
        <v>3.0</v>
      </c>
      <c r="D24" s="1">
        <v>3.0</v>
      </c>
      <c r="E24" s="1">
        <v>3.0</v>
      </c>
      <c r="F24" s="1">
        <v>3.0</v>
      </c>
      <c r="G24" s="1">
        <v>3.0</v>
      </c>
    </row>
    <row r="25">
      <c r="A25" s="1" t="s">
        <v>27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</row>
    <row r="26">
      <c r="A26" s="1" t="s">
        <v>28</v>
      </c>
      <c r="B26" s="1">
        <v>2.0</v>
      </c>
      <c r="C26" s="1">
        <v>1.0</v>
      </c>
      <c r="D26" s="1">
        <v>2.0</v>
      </c>
      <c r="E26" s="1">
        <v>1.0</v>
      </c>
      <c r="F26" s="1">
        <v>0.0</v>
      </c>
      <c r="G26" s="1">
        <v>3.0</v>
      </c>
    </row>
    <row r="27">
      <c r="A27" s="1" t="s">
        <v>29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</row>
    <row r="28">
      <c r="A28" s="1" t="s">
        <v>11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</row>
    <row r="30">
      <c r="A30" s="1" t="s">
        <v>33</v>
      </c>
    </row>
    <row r="31">
      <c r="A31" s="1" t="s">
        <v>26</v>
      </c>
      <c r="B31" s="1">
        <v>5.0</v>
      </c>
      <c r="C31" s="1">
        <v>3.0</v>
      </c>
      <c r="D31" s="1">
        <v>4.0</v>
      </c>
      <c r="E31" s="1">
        <v>4.0</v>
      </c>
      <c r="F31" s="1">
        <v>7.0</v>
      </c>
    </row>
    <row r="32">
      <c r="A32" s="1" t="s">
        <v>27</v>
      </c>
      <c r="B32" s="1">
        <v>0.0</v>
      </c>
      <c r="C32" s="1">
        <v>0.0</v>
      </c>
      <c r="D32" s="1">
        <v>0.0</v>
      </c>
      <c r="E32" s="1">
        <v>0.0</v>
      </c>
      <c r="F32" s="1">
        <v>2.0</v>
      </c>
    </row>
    <row r="33">
      <c r="A33" s="1" t="s">
        <v>28</v>
      </c>
      <c r="B33" s="1">
        <v>1.0</v>
      </c>
      <c r="C33" s="1">
        <v>0.0</v>
      </c>
      <c r="D33" s="1">
        <v>1.0</v>
      </c>
      <c r="E33" s="1">
        <v>1.0</v>
      </c>
      <c r="F33" s="1">
        <v>0.0</v>
      </c>
    </row>
    <row r="34">
      <c r="A34" s="1" t="s">
        <v>29</v>
      </c>
      <c r="B34" s="1">
        <v>1.0</v>
      </c>
      <c r="C34" s="1">
        <v>0.0</v>
      </c>
      <c r="D34" s="1">
        <v>0.0</v>
      </c>
      <c r="E34" s="1">
        <v>1.0</v>
      </c>
      <c r="F34" s="1">
        <v>2.0</v>
      </c>
    </row>
    <row r="35">
      <c r="A35" s="1" t="s">
        <v>11</v>
      </c>
      <c r="B35" s="1">
        <v>1.0</v>
      </c>
      <c r="C35" s="1">
        <v>0.0</v>
      </c>
      <c r="D35" s="1">
        <v>1.0</v>
      </c>
      <c r="E35" s="1">
        <v>1.0</v>
      </c>
      <c r="F35" s="1">
        <v>3.0</v>
      </c>
    </row>
    <row r="37">
      <c r="A37" s="1" t="s">
        <v>34</v>
      </c>
    </row>
    <row r="38">
      <c r="A38" s="1" t="s">
        <v>26</v>
      </c>
      <c r="B38" s="1">
        <v>6.0</v>
      </c>
      <c r="C38" s="1">
        <v>4.0</v>
      </c>
      <c r="D38" s="1">
        <v>6.0</v>
      </c>
      <c r="E38" s="1">
        <v>6.0</v>
      </c>
      <c r="F38" s="1">
        <v>4.0</v>
      </c>
    </row>
    <row r="39">
      <c r="A39" s="1" t="s">
        <v>27</v>
      </c>
      <c r="B39" s="1">
        <v>1.0</v>
      </c>
      <c r="C39" s="1">
        <v>0.0</v>
      </c>
      <c r="D39" s="1">
        <v>1.0</v>
      </c>
      <c r="E39" s="1">
        <v>1.0</v>
      </c>
      <c r="F39" s="1">
        <v>0.0</v>
      </c>
    </row>
    <row r="40">
      <c r="A40" s="1" t="s">
        <v>28</v>
      </c>
      <c r="B40" s="1">
        <v>2.0</v>
      </c>
      <c r="C40" s="1">
        <v>0.0</v>
      </c>
      <c r="D40" s="1">
        <v>2.0</v>
      </c>
      <c r="E40" s="1">
        <v>1.0</v>
      </c>
      <c r="F40" s="1">
        <v>0.0</v>
      </c>
    </row>
    <row r="41">
      <c r="A41" s="1" t="s">
        <v>29</v>
      </c>
      <c r="B41" s="1">
        <v>2.0</v>
      </c>
      <c r="C41" s="1">
        <v>1.0</v>
      </c>
      <c r="D41" s="1">
        <v>0.0</v>
      </c>
      <c r="E41" s="1">
        <v>0.0</v>
      </c>
      <c r="F41" s="1">
        <v>1.0</v>
      </c>
    </row>
    <row r="42">
      <c r="A42" s="1" t="s">
        <v>11</v>
      </c>
      <c r="B42" s="1">
        <v>2.0</v>
      </c>
      <c r="C42" s="1">
        <v>1.0</v>
      </c>
      <c r="D42" s="1">
        <v>2.0</v>
      </c>
      <c r="E42" s="1">
        <v>2.0</v>
      </c>
      <c r="F42" s="1">
        <v>1.0</v>
      </c>
    </row>
  </sheetData>
  <drawing r:id="rId1"/>
</worksheet>
</file>